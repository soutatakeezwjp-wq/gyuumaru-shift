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シミュレーター" sheetId="1" state="visible" r:id="rId1"/>
    <sheet xmlns:r="http://schemas.openxmlformats.org/officeDocument/2006/relationships" name="競合比較" sheetId="2" state="visible" r:id="rId2"/>
    <sheet xmlns:r="http://schemas.openxmlformats.org/officeDocument/2006/relationships" name="機能比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20">
    <font>
      <name val="Calibri"/>
      <family val="2"/>
      <color theme="1"/>
      <sz val="11"/>
      <scheme val="minor"/>
    </font>
    <font>
      <name val="Yu Gothic"/>
      <b val="1"/>
      <color rgb="004A3323"/>
      <sz val="18"/>
    </font>
    <font>
      <name val="Yu Gothic"/>
      <color rgb="00888888"/>
      <sz val="11"/>
    </font>
    <font>
      <name val="Yu Gothic"/>
      <b val="1"/>
      <color rgb="00FFFFFF"/>
      <sz val="14"/>
    </font>
    <font>
      <name val="Yu Gothic"/>
      <color rgb="004A3323"/>
      <sz val="11"/>
    </font>
    <font>
      <name val="Yu Gothic"/>
      <b val="1"/>
      <color rgb="004A3323"/>
      <sz val="14"/>
    </font>
    <font>
      <name val="Yu Gothic"/>
      <color rgb="00888888"/>
      <sz val="10"/>
    </font>
    <font>
      <name val="Yu Gothic"/>
      <b val="1"/>
      <color rgb="002E7D32"/>
      <sz val="12"/>
    </font>
    <font>
      <name val="Yu Gothic"/>
      <b val="1"/>
      <color rgb="002E7D32"/>
      <sz val="16"/>
    </font>
    <font>
      <name val="Yu Gothic"/>
      <b val="1"/>
      <color rgb="001565C0"/>
      <sz val="14"/>
    </font>
    <font>
      <name val="Yu Gothic"/>
      <b val="1"/>
      <color rgb="00FFFFFF"/>
      <sz val="10"/>
    </font>
    <font>
      <name val="Yu Gothic"/>
      <color rgb="004A3323"/>
      <sz val="10"/>
    </font>
    <font>
      <name val="Yu Gothic"/>
      <b val="1"/>
      <color rgb="002E7D32"/>
      <sz val="10"/>
    </font>
    <font>
      <name val="Yu Gothic"/>
      <b val="1"/>
      <color rgb="004A3323"/>
      <sz val="10"/>
    </font>
    <font>
      <name val="Yu Gothic"/>
      <sz val="10"/>
    </font>
    <font>
      <name val="Yu Gothic"/>
      <b val="1"/>
      <color rgb="002E7D32"/>
      <sz val="11"/>
    </font>
    <font>
      <name val="Yu Gothic"/>
      <b val="1"/>
      <color rgb="00C62828"/>
      <sz val="11"/>
    </font>
    <font>
      <name val="Yu Gothic"/>
      <b val="1"/>
      <color rgb="002E7D32"/>
      <sz val="14"/>
    </font>
    <font>
      <name val="Yu Gothic"/>
      <color rgb="00E65100"/>
      <sz val="14"/>
    </font>
    <font>
      <name val="Yu Gothic"/>
      <color rgb="00CCCCCC"/>
      <sz val="14"/>
    </font>
  </fonts>
  <fills count="9">
    <fill>
      <patternFill/>
    </fill>
    <fill>
      <patternFill patternType="gray125"/>
    </fill>
    <fill>
      <patternFill patternType="solid">
        <fgColor rgb="00FFF8E1"/>
      </patternFill>
    </fill>
    <fill>
      <patternFill patternType="solid">
        <fgColor rgb="004A3323"/>
      </patternFill>
    </fill>
    <fill>
      <patternFill patternType="solid">
        <fgColor rgb="00FFFFCC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8D6E63"/>
      </patternFill>
    </fill>
  </fills>
  <borders count="2">
    <border>
      <left/>
      <right/>
      <top/>
      <bottom/>
      <diagonal/>
    </border>
    <border>
      <left style="thin">
        <color rgb="00D4C5B5"/>
      </left>
      <right style="thin">
        <color rgb="00D4C5B5"/>
      </right>
      <top style="thin">
        <color rgb="00D4C5B5"/>
      </top>
      <bottom style="thin">
        <color rgb="00D4C5B5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164" fontId="5" fillId="4" borderId="1" applyAlignment="1" pivotButton="0" quotePrefix="0" xfId="0">
      <alignment horizontal="center"/>
    </xf>
    <xf numFmtId="0" fontId="6" fillId="0" borderId="1" pivotButton="0" quotePrefix="0" xfId="0"/>
    <xf numFmtId="0" fontId="3" fillId="5" borderId="0" applyAlignment="1" pivotButton="0" quotePrefix="0" xfId="0">
      <alignment horizontal="center" vertical="center"/>
    </xf>
    <xf numFmtId="3" fontId="0" fillId="0" borderId="1" pivotButton="0" quotePrefix="0" xfId="0"/>
    <xf numFmtId="0" fontId="7" fillId="0" borderId="1" pivotButton="0" quotePrefix="0" xfId="0"/>
    <xf numFmtId="3" fontId="8" fillId="6" borderId="1" pivotButton="0" quotePrefix="0" xfId="0"/>
    <xf numFmtId="3" fontId="9" fillId="7" borderId="1" pivotButton="0" quotePrefix="0" xfId="0"/>
    <xf numFmtId="0" fontId="10" fillId="3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/>
    </xf>
    <xf numFmtId="0" fontId="10" fillId="8" borderId="1" applyAlignment="1" pivotButton="0" quotePrefix="0" xfId="0">
      <alignment horizontal="center"/>
    </xf>
    <xf numFmtId="0" fontId="13" fillId="6" borderId="1" applyAlignment="1" pivotButton="0" quotePrefix="0" xfId="0">
      <alignment horizontal="center"/>
    </xf>
    <xf numFmtId="3" fontId="15" fillId="6" borderId="1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3" fontId="14" fillId="0" borderId="1" applyAlignment="1" pivotButton="0" quotePrefix="0" xfId="0">
      <alignment horizontal="center"/>
    </xf>
    <xf numFmtId="3" fontId="15" fillId="0" borderId="1" applyAlignment="1" pivotButton="0" quotePrefix="0" xfId="0">
      <alignment horizontal="center"/>
    </xf>
    <xf numFmtId="3" fontId="16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 vertical="center"/>
    </xf>
    <xf numFmtId="0" fontId="17" fillId="6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B1:F31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50" customHeight="1">
      <c r="B1" s="1" t="inlineStr">
        <is>
          <t>ぎゅう丸シフト管理システム ROIシミュレーター</t>
        </is>
      </c>
    </row>
    <row r="2">
      <c r="B2" s="2" t="inlineStr">
        <is>
          <t>導入前後でどれだけコスト削減できるかを試算します</t>
        </is>
      </c>
    </row>
    <row r="4" ht="35" customHeight="1">
      <c r="B4" s="3" t="inlineStr">
        <is>
          <t>入力項目（黄色のセルに数値を入力してください）</t>
        </is>
      </c>
    </row>
    <row r="5">
      <c r="B5" s="4" t="inlineStr">
        <is>
          <t>店舗数</t>
        </is>
      </c>
      <c r="C5" s="5" t="n">
        <v>13</v>
      </c>
      <c r="D5" s="6" t="inlineStr">
        <is>
          <t>店舗</t>
        </is>
      </c>
      <c r="E5" s="6" t="inlineStr">
        <is>
          <t>ぎゅう丸の全店舗数</t>
        </is>
      </c>
    </row>
    <row r="6">
      <c r="B6" s="4" t="inlineStr">
        <is>
          <t>1店舗あたりのスタッフ数</t>
        </is>
      </c>
      <c r="C6" s="5" t="n">
        <v>20</v>
      </c>
      <c r="D6" s="6" t="inlineStr">
        <is>
          <t>名</t>
        </is>
      </c>
      <c r="E6" s="6" t="inlineStr">
        <is>
          <t>正社員+アルバイト合計</t>
        </is>
      </c>
    </row>
    <row r="7">
      <c r="B7" s="4" t="inlineStr">
        <is>
          <t>店長の平均時給換算</t>
        </is>
      </c>
      <c r="C7" s="5" t="n">
        <v>2500</v>
      </c>
      <c r="D7" s="6" t="inlineStr">
        <is>
          <t>円/時</t>
        </is>
      </c>
      <c r="E7" s="6" t="inlineStr">
        <is>
          <t>月給÷160時間で算出</t>
        </is>
      </c>
    </row>
    <row r="8">
      <c r="B8" s="4" t="inlineStr">
        <is>
          <t>シフト作成にかかる時間（現在）</t>
        </is>
      </c>
      <c r="C8" s="5" t="n">
        <v>8</v>
      </c>
      <c r="D8" s="6" t="inlineStr">
        <is>
          <t>時間/月</t>
        </is>
      </c>
      <c r="E8" s="6" t="inlineStr">
        <is>
          <t>1店舗あたり、毎月の作成時間</t>
        </is>
      </c>
    </row>
    <row r="9">
      <c r="B9" s="4" t="inlineStr">
        <is>
          <t>シフト調整・連絡にかかる時間（現在）</t>
        </is>
      </c>
      <c r="C9" s="5" t="n">
        <v>4</v>
      </c>
      <c r="D9" s="6" t="inlineStr">
        <is>
          <t>時間/月</t>
        </is>
      </c>
      <c r="E9" s="6" t="inlineStr">
        <is>
          <t>電話・LINE等での調整時間</t>
        </is>
      </c>
    </row>
    <row r="10">
      <c r="B10" s="4" t="inlineStr">
        <is>
          <t>シフト作成にかかる時間（導入後）</t>
        </is>
      </c>
      <c r="C10" s="5" t="n">
        <v>1</v>
      </c>
      <c r="D10" s="6" t="inlineStr">
        <is>
          <t>時間/月</t>
        </is>
      </c>
      <c r="E10" s="6" t="inlineStr">
        <is>
          <t>自動作成+微調整のみ</t>
        </is>
      </c>
    </row>
    <row r="11">
      <c r="B11" s="4" t="inlineStr">
        <is>
          <t>シフト調整・連絡にかかる時間（導入後）</t>
        </is>
      </c>
      <c r="C11" s="5" t="n">
        <v>0.5</v>
      </c>
      <c r="D11" s="6" t="inlineStr">
        <is>
          <t>時間/月</t>
        </is>
      </c>
      <c r="E11" s="6" t="inlineStr">
        <is>
          <t>アプリ内で完結</t>
        </is>
      </c>
    </row>
    <row r="13" ht="35" customHeight="1">
      <c r="B13" s="7" t="inlineStr">
        <is>
          <t>削減効果（自動計算）</t>
        </is>
      </c>
    </row>
    <row r="14">
      <c r="B14" s="4" t="inlineStr">
        <is>
          <t>月間シフト作成コスト（現在）</t>
        </is>
      </c>
      <c r="C14" s="8">
        <f>C5*C7*C8</f>
        <v/>
      </c>
      <c r="D14" s="6" t="inlineStr">
        <is>
          <t>円/月</t>
        </is>
      </c>
    </row>
    <row r="15">
      <c r="B15" s="4" t="inlineStr">
        <is>
          <t>月間シフト調整コスト（現在）</t>
        </is>
      </c>
      <c r="C15" s="8">
        <f>C5*C7*C9</f>
        <v/>
      </c>
      <c r="D15" s="6" t="inlineStr">
        <is>
          <t>円/月</t>
        </is>
      </c>
    </row>
    <row r="16">
      <c r="B16" s="4" t="inlineStr">
        <is>
          <t>月間合計コスト（現在）</t>
        </is>
      </c>
      <c r="C16" s="8">
        <f>C14+C15</f>
        <v/>
      </c>
      <c r="D16" s="6" t="inlineStr">
        <is>
          <t>円/月</t>
        </is>
      </c>
    </row>
    <row r="18">
      <c r="B18" s="4" t="inlineStr">
        <is>
          <t>月間シフト作成コスト（導入後）</t>
        </is>
      </c>
      <c r="C18" s="8">
        <f>C5*C7*C10</f>
        <v/>
      </c>
      <c r="D18" s="6" t="inlineStr">
        <is>
          <t>円/月</t>
        </is>
      </c>
    </row>
    <row r="19">
      <c r="B19" s="4" t="inlineStr">
        <is>
          <t>月間シフト調整コスト（導入後）</t>
        </is>
      </c>
      <c r="C19" s="8">
        <f>C5*C7*C11</f>
        <v/>
      </c>
      <c r="D19" s="6" t="inlineStr">
        <is>
          <t>円/月</t>
        </is>
      </c>
    </row>
    <row r="20">
      <c r="B20" s="4" t="inlineStr">
        <is>
          <t>月間合計コスト（導入後）</t>
        </is>
      </c>
      <c r="C20" s="8">
        <f>C18+C19</f>
        <v/>
      </c>
      <c r="D20" s="6" t="inlineStr">
        <is>
          <t>円/月</t>
        </is>
      </c>
    </row>
    <row r="22">
      <c r="B22" s="9" t="inlineStr">
        <is>
          <t>月間削減額</t>
        </is>
      </c>
      <c r="C22" s="10">
        <f>C16-C20</f>
        <v/>
      </c>
      <c r="D22" s="6" t="inlineStr">
        <is>
          <t>円/月</t>
        </is>
      </c>
    </row>
    <row r="23">
      <c r="B23" s="9" t="inlineStr">
        <is>
          <t>年間削減額</t>
        </is>
      </c>
      <c r="C23" s="10">
        <f>C22*12</f>
        <v/>
      </c>
      <c r="D23" s="6" t="inlineStr">
        <is>
          <t>円/年</t>
        </is>
      </c>
    </row>
    <row r="25">
      <c r="B25" s="4" t="inlineStr">
        <is>
          <t>初期費用</t>
        </is>
      </c>
      <c r="C25" s="11" t="n">
        <v>1500000</v>
      </c>
      <c r="D25" s="6" t="inlineStr">
        <is>
          <t>円</t>
        </is>
      </c>
    </row>
    <row r="26">
      <c r="B26" s="4" t="inlineStr">
        <is>
          <t>月額費用</t>
        </is>
      </c>
      <c r="C26" s="11" t="n">
        <v>80000</v>
      </c>
      <c r="D26" s="6" t="inlineStr">
        <is>
          <t>円/月</t>
        </is>
      </c>
    </row>
    <row r="27">
      <c r="B27" s="4" t="inlineStr">
        <is>
          <t>年間ランニングコスト</t>
        </is>
      </c>
      <c r="C27" s="8">
        <f>C26*12</f>
        <v/>
      </c>
      <c r="D27" s="6" t="inlineStr">
        <is>
          <t>円/年</t>
        </is>
      </c>
    </row>
    <row r="29">
      <c r="B29" s="9" t="inlineStr">
        <is>
          <t>年間純削減額（削減額-ランニングコスト）</t>
        </is>
      </c>
      <c r="C29" s="10">
        <f>C23-C27</f>
        <v/>
      </c>
      <c r="D29" s="6" t="inlineStr">
        <is>
          <t>円/年</t>
        </is>
      </c>
    </row>
    <row r="30">
      <c r="B30" s="9" t="inlineStr">
        <is>
          <t>投資回収期間</t>
        </is>
      </c>
      <c r="C30" s="10">
        <f>IF(C22-C26&gt;0,C25/(C22-C26),"削減効果なし")</f>
        <v/>
      </c>
      <c r="D30" s="6" t="inlineStr">
        <is>
          <t>ヶ月</t>
        </is>
      </c>
    </row>
    <row r="31">
      <c r="B31" s="9" t="inlineStr">
        <is>
          <t>3年間のROI</t>
        </is>
      </c>
      <c r="C31" s="10">
        <f>IF(C25&gt;0,(C29*3-C25)/C25*100,"N/A")</f>
        <v/>
      </c>
      <c r="D31" s="6" t="inlineStr">
        <is>
          <t>%</t>
        </is>
      </c>
    </row>
  </sheetData>
  <mergeCells count="4">
    <mergeCell ref="B2:F2"/>
    <mergeCell ref="B4:F4"/>
    <mergeCell ref="B13:F13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B1:H22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2" customWidth="1" min="8" max="8"/>
  </cols>
  <sheetData>
    <row r="1" ht="50" customHeight="1">
      <c r="B1" s="1" t="inlineStr">
        <is>
          <t>シフト管理システム 競合比較表</t>
        </is>
      </c>
    </row>
    <row r="3" ht="40" customHeight="1">
      <c r="B3" s="12" t="inlineStr">
        <is>
          <t>サービス名</t>
        </is>
      </c>
      <c r="C3" s="12" t="inlineStr">
        <is>
          <t>初期費用</t>
        </is>
      </c>
      <c r="D3" s="12" t="inlineStr">
        <is>
          <t>月額費用
(13店舗想定)</t>
        </is>
      </c>
      <c r="E3" s="12" t="inlineStr">
        <is>
          <t>主な機能</t>
        </is>
      </c>
      <c r="F3" s="12" t="inlineStr">
        <is>
          <t>カスタマイズ</t>
        </is>
      </c>
      <c r="G3" s="12" t="inlineStr">
        <is>
          <t>開発期間</t>
        </is>
      </c>
      <c r="H3" s="12" t="inlineStr">
        <is>
          <t>備考</t>
        </is>
      </c>
    </row>
    <row r="4" ht="80" customHeight="1">
      <c r="B4" s="13" t="inlineStr">
        <is>
          <t>ぎゅう丸専用
(kaleido開発)</t>
        </is>
      </c>
      <c r="C4" s="13" t="inlineStr">
        <is>
          <t>150万円</t>
        </is>
      </c>
      <c r="D4" s="13" t="inlineStr">
        <is>
          <t>8万円/月
(年96万円)</t>
        </is>
      </c>
      <c r="E4" s="13" t="inlineStr">
        <is>
          <t>シフト自動作成
時間帯別人数管理
余剰自動解消
正社員時間管理
ガントチャート
Excel出力</t>
        </is>
      </c>
      <c r="F4" s="13" t="inlineStr">
        <is>
          <t>完全カスタム
自由に対応可能</t>
        </is>
      </c>
      <c r="G4" s="13" t="inlineStr">
        <is>
          <t>開発済み
即導入可</t>
        </is>
      </c>
      <c r="H4" s="13" t="inlineStr">
        <is>
          <t>月額0円の競合と比較して
圧倒的なカスタマイズ性
と専用設計が強み</t>
        </is>
      </c>
    </row>
    <row r="5" ht="80" customHeight="1">
      <c r="B5" s="14" t="inlineStr">
        <is>
          <t>Airシフト
(リクルート)</t>
        </is>
      </c>
      <c r="C5" s="14" t="inlineStr">
        <is>
          <t>0円</t>
        </is>
      </c>
      <c r="D5" s="14" t="inlineStr">
        <is>
          <t>約5.7万円/月
(330円x20人x13店)</t>
        </is>
      </c>
      <c r="E5" s="14" t="inlineStr">
        <is>
          <t>シフト収集
シフト作成
チャット機能</t>
        </is>
      </c>
      <c r="F5" s="14" t="inlineStr">
        <is>
          <t>不可
(汎用サービス)</t>
        </is>
      </c>
      <c r="G5" s="14" t="inlineStr">
        <is>
          <t>-</t>
        </is>
      </c>
      <c r="H5" s="14" t="inlineStr">
        <is>
          <t>汎用的だが
カスタマイズ不可</t>
        </is>
      </c>
    </row>
    <row r="6" ht="80" customHeight="1">
      <c r="B6" s="14" t="inlineStr">
        <is>
          <t>ジョブカン</t>
        </is>
      </c>
      <c r="C6" s="14" t="inlineStr">
        <is>
          <t>0円</t>
        </is>
      </c>
      <c r="D6" s="14" t="inlineStr">
        <is>
          <t>約10.4万円/月
(400円x20人x13店)</t>
        </is>
      </c>
      <c r="E6" s="14" t="inlineStr">
        <is>
          <t>シフト管理
勤怠管理
自動作成</t>
        </is>
      </c>
      <c r="F6" s="14" t="inlineStr">
        <is>
          <t>不可</t>
        </is>
      </c>
      <c r="G6" s="14" t="inlineStr">
        <is>
          <t>-</t>
        </is>
      </c>
      <c r="H6" s="14" t="inlineStr">
        <is>
          <t>勤怠込みだが
飲食特化ではない</t>
        </is>
      </c>
    </row>
    <row r="7" ht="80" customHeight="1">
      <c r="B7" s="14" t="inlineStr">
        <is>
          <t>シフオプ
(リクルート)</t>
        </is>
      </c>
      <c r="C7" s="14" t="inlineStr">
        <is>
          <t>0円</t>
        </is>
      </c>
      <c r="D7" s="14" t="inlineStr">
        <is>
          <t>約8.6万円/月
(330円x20人x13店)</t>
        </is>
      </c>
      <c r="E7" s="14" t="inlineStr">
        <is>
          <t>ガントチャート
人件費概算
人員過不足表示</t>
        </is>
      </c>
      <c r="F7" s="14" t="inlineStr">
        <is>
          <t>不可</t>
        </is>
      </c>
      <c r="G7" s="14" t="inlineStr">
        <is>
          <t>-</t>
        </is>
      </c>
      <c r="H7" s="14" t="inlineStr">
        <is>
          <t>ガントチャートが
強みだが固定仕様</t>
        </is>
      </c>
    </row>
    <row r="8" ht="80" customHeight="1">
      <c r="B8" s="14" t="inlineStr">
        <is>
          <t>らくしふ</t>
        </is>
      </c>
      <c r="C8" s="14" t="inlineStr">
        <is>
          <t>要問合せ
(数十万円)</t>
        </is>
      </c>
      <c r="D8" s="14" t="inlineStr">
        <is>
          <t>要問合せ
(月10-20万円)</t>
        </is>
      </c>
      <c r="E8" s="14" t="inlineStr">
        <is>
          <t>LINE連携
自動リマインド
ヘルプ募集</t>
        </is>
      </c>
      <c r="F8" s="14" t="inlineStr">
        <is>
          <t>一部対応
(有料)</t>
        </is>
      </c>
      <c r="G8" s="14" t="inlineStr">
        <is>
          <t>1-2ヶ月</t>
        </is>
      </c>
      <c r="H8" s="14" t="inlineStr">
        <is>
          <t>LINE連携が強み
だがコスト高</t>
        </is>
      </c>
    </row>
    <row r="9" ht="80" customHeight="1">
      <c r="B9" s="14" t="inlineStr">
        <is>
          <t>アールシフト</t>
        </is>
      </c>
      <c r="C9" s="14" t="inlineStr">
        <is>
          <t>0円</t>
        </is>
      </c>
      <c r="D9" s="14" t="inlineStr">
        <is>
          <t>10万円~/月</t>
        </is>
      </c>
      <c r="E9" s="14" t="inlineStr">
        <is>
          <t>AI自動作成
800種類の機能
スキル考慮</t>
        </is>
      </c>
      <c r="F9" s="14" t="inlineStr">
        <is>
          <t>一部対応
(有料)</t>
        </is>
      </c>
      <c r="G9" s="14" t="inlineStr">
        <is>
          <t>1-3ヶ月</t>
        </is>
      </c>
      <c r="H9" s="14" t="inlineStr">
        <is>
          <t>大規模向け
中小には過剰</t>
        </is>
      </c>
    </row>
    <row r="10" ht="80" customHeight="1">
      <c r="B10" s="14" t="inlineStr">
        <is>
          <t>oplus</t>
        </is>
      </c>
      <c r="C10" s="14" t="inlineStr">
        <is>
          <t>0円</t>
        </is>
      </c>
      <c r="D10" s="14" t="inlineStr">
        <is>
          <t>約1.3万円/月
(100円x20人x13店)</t>
        </is>
      </c>
      <c r="E10" s="14" t="inlineStr">
        <is>
          <t>基本シフト管理
メガホン機能</t>
        </is>
      </c>
      <c r="F10" s="14" t="inlineStr">
        <is>
          <t>不可</t>
        </is>
      </c>
      <c r="G10" s="14" t="inlineStr">
        <is>
          <t>-</t>
        </is>
      </c>
      <c r="H10" s="14" t="inlineStr">
        <is>
          <t>最安だが
機能は基本的</t>
        </is>
      </c>
    </row>
    <row r="11" ht="80" customHeight="1">
      <c r="B11" s="14" t="inlineStr">
        <is>
          <t>スクラッチ開発
(他社)</t>
        </is>
      </c>
      <c r="C11" s="14" t="inlineStr">
        <is>
          <t>300-500万円</t>
        </is>
      </c>
      <c r="D11" s="14" t="inlineStr">
        <is>
          <t>5-15万円/月
(保守費)</t>
        </is>
      </c>
      <c r="E11" s="14" t="inlineStr">
        <is>
          <t>要件次第</t>
        </is>
      </c>
      <c r="F11" s="14" t="inlineStr">
        <is>
          <t>完全カスタム</t>
        </is>
      </c>
      <c r="G11" s="14" t="inlineStr">
        <is>
          <t>3-6ヶ月</t>
        </is>
      </c>
      <c r="H11" s="14" t="inlineStr">
        <is>
          <t>開発期間とコストが
大きなリスク</t>
        </is>
      </c>
    </row>
    <row r="14" ht="35" customHeight="1">
      <c r="B14" s="15" t="inlineStr">
        <is>
          <t>3年間トータルコスト比較（13店舗・スタッフ20名/店の場合）</t>
        </is>
      </c>
    </row>
    <row r="15">
      <c r="B15" s="16" t="inlineStr">
        <is>
          <t>サービス</t>
        </is>
      </c>
      <c r="C15" s="16" t="inlineStr">
        <is>
          <t>初期費用</t>
        </is>
      </c>
      <c r="D15" s="16" t="inlineStr">
        <is>
          <t>月額(税込)</t>
        </is>
      </c>
      <c r="E15" s="16" t="inlineStr">
        <is>
          <t>年間費用</t>
        </is>
      </c>
      <c r="F15" s="16" t="inlineStr">
        <is>
          <t>3年間合計</t>
        </is>
      </c>
      <c r="G15" s="16" t="inlineStr">
        <is>
          <t>ぎゅう丸との差</t>
        </is>
      </c>
    </row>
    <row r="16">
      <c r="B16" s="17" t="inlineStr">
        <is>
          <t>ぎゅう丸専用</t>
        </is>
      </c>
      <c r="C16" s="18" t="n">
        <v>1500000</v>
      </c>
      <c r="D16" s="18" t="n">
        <v>80000</v>
      </c>
      <c r="E16" s="18" t="n">
        <v>960000</v>
      </c>
      <c r="F16" s="18" t="n">
        <v>4380000</v>
      </c>
      <c r="G16" s="18" t="inlineStr">
        <is>
          <t>-</t>
        </is>
      </c>
    </row>
    <row r="17">
      <c r="B17" s="19" t="inlineStr">
        <is>
          <t>Airシフト</t>
        </is>
      </c>
      <c r="C17" s="20" t="n">
        <v>0</v>
      </c>
      <c r="D17" s="20" t="n">
        <v>57200</v>
      </c>
      <c r="E17" s="20" t="n">
        <v>686400</v>
      </c>
      <c r="F17" s="20" t="n">
        <v>2059200</v>
      </c>
      <c r="G17" s="21" t="inlineStr">
        <is>
          <t>-2,320,800円</t>
        </is>
      </c>
    </row>
    <row r="18">
      <c r="B18" s="19" t="inlineStr">
        <is>
          <t>ジョブカン</t>
        </is>
      </c>
      <c r="C18" s="20" t="n">
        <v>0</v>
      </c>
      <c r="D18" s="20" t="n">
        <v>104000</v>
      </c>
      <c r="E18" s="20" t="n">
        <v>1248000</v>
      </c>
      <c r="F18" s="20" t="n">
        <v>3744000</v>
      </c>
      <c r="G18" s="21" t="inlineStr">
        <is>
          <t>-636,000円</t>
        </is>
      </c>
    </row>
    <row r="19">
      <c r="B19" s="19" t="inlineStr">
        <is>
          <t>シフオプ</t>
        </is>
      </c>
      <c r="C19" s="20" t="n">
        <v>0</v>
      </c>
      <c r="D19" s="20" t="n">
        <v>85800</v>
      </c>
      <c r="E19" s="20" t="n">
        <v>1029600</v>
      </c>
      <c r="F19" s="20" t="n">
        <v>3088800</v>
      </c>
      <c r="G19" s="21" t="inlineStr">
        <is>
          <t>-1,291,200円</t>
        </is>
      </c>
    </row>
    <row r="20">
      <c r="B20" s="19" t="inlineStr">
        <is>
          <t>らくしふ</t>
        </is>
      </c>
      <c r="C20" s="20" t="n">
        <v>500000</v>
      </c>
      <c r="D20" s="20" t="n">
        <v>150000</v>
      </c>
      <c r="E20" s="20" t="n">
        <v>1800000</v>
      </c>
      <c r="F20" s="20" t="n">
        <v>5900000</v>
      </c>
      <c r="G20" s="22" t="inlineStr">
        <is>
          <t>+1,520,000円</t>
        </is>
      </c>
    </row>
    <row r="21">
      <c r="B21" s="19" t="inlineStr">
        <is>
          <t>アールシフト</t>
        </is>
      </c>
      <c r="C21" s="20" t="n">
        <v>0</v>
      </c>
      <c r="D21" s="20" t="n">
        <v>100000</v>
      </c>
      <c r="E21" s="20" t="n">
        <v>1200000</v>
      </c>
      <c r="F21" s="20" t="n">
        <v>3600000</v>
      </c>
      <c r="G21" s="21" t="inlineStr">
        <is>
          <t>-780,000円</t>
        </is>
      </c>
    </row>
    <row r="22">
      <c r="B22" s="19" t="inlineStr">
        <is>
          <t>スクラッチ開発</t>
        </is>
      </c>
      <c r="C22" s="20" t="n">
        <v>4000000</v>
      </c>
      <c r="D22" s="20" t="n">
        <v>100000</v>
      </c>
      <c r="E22" s="20" t="n">
        <v>1200000</v>
      </c>
      <c r="F22" s="20" t="n">
        <v>7600000</v>
      </c>
      <c r="G22" s="22" t="inlineStr">
        <is>
          <t>+3,220,000円</t>
        </is>
      </c>
    </row>
  </sheetData>
  <mergeCells count="2">
    <mergeCell ref="B1:H1"/>
    <mergeCell ref="B14:H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/>
  </sheetPr>
  <dimension ref="B1:H19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50" customHeight="1">
      <c r="B1" s="1" t="inlineStr">
        <is>
          <t>機能比較表</t>
        </is>
      </c>
    </row>
    <row r="3" ht="40" customHeight="1">
      <c r="B3" s="12" t="inlineStr">
        <is>
          <t>機能</t>
        </is>
      </c>
      <c r="C3" s="12" t="inlineStr">
        <is>
          <t>ぎゅう丸
専用</t>
        </is>
      </c>
      <c r="D3" s="12" t="inlineStr">
        <is>
          <t>Airシフト</t>
        </is>
      </c>
      <c r="E3" s="12" t="inlineStr">
        <is>
          <t>ジョブカン</t>
        </is>
      </c>
      <c r="F3" s="12" t="inlineStr">
        <is>
          <t>シフオプ</t>
        </is>
      </c>
      <c r="G3" s="12" t="inlineStr">
        <is>
          <t>らくしふ</t>
        </is>
      </c>
      <c r="H3" s="12" t="inlineStr">
        <is>
          <t>oplus</t>
        </is>
      </c>
    </row>
    <row r="4">
      <c r="B4" s="23" t="inlineStr">
        <is>
          <t>シフト希望収集</t>
        </is>
      </c>
      <c r="C4" s="24" t="inlineStr">
        <is>
          <t>○</t>
        </is>
      </c>
      <c r="D4" s="25" t="inlineStr">
        <is>
          <t>○</t>
        </is>
      </c>
      <c r="E4" s="25" t="inlineStr">
        <is>
          <t>○</t>
        </is>
      </c>
      <c r="F4" s="25" t="inlineStr">
        <is>
          <t>○</t>
        </is>
      </c>
      <c r="G4" s="25" t="inlineStr">
        <is>
          <t>○</t>
        </is>
      </c>
      <c r="H4" s="25" t="inlineStr">
        <is>
          <t>○</t>
        </is>
      </c>
    </row>
    <row r="5">
      <c r="B5" s="23" t="inlineStr">
        <is>
          <t>シフト自動作成</t>
        </is>
      </c>
      <c r="C5" s="24" t="inlineStr">
        <is>
          <t>○</t>
        </is>
      </c>
      <c r="D5" s="26" t="inlineStr">
        <is>
          <t>△</t>
        </is>
      </c>
      <c r="E5" s="25" t="inlineStr">
        <is>
          <t>○</t>
        </is>
      </c>
      <c r="F5" s="27" t="inlineStr">
        <is>
          <t>×</t>
        </is>
      </c>
      <c r="G5" s="26" t="inlineStr">
        <is>
          <t>△</t>
        </is>
      </c>
      <c r="H5" s="27" t="inlineStr">
        <is>
          <t>×</t>
        </is>
      </c>
    </row>
    <row r="6">
      <c r="B6" s="23" t="inlineStr">
        <is>
          <t>時間帯別必要人数管理</t>
        </is>
      </c>
      <c r="C6" s="24" t="inlineStr">
        <is>
          <t>○</t>
        </is>
      </c>
      <c r="D6" s="25" t="inlineStr">
        <is>
          <t>○</t>
        </is>
      </c>
      <c r="E6" s="26" t="inlineStr">
        <is>
          <t>△</t>
        </is>
      </c>
      <c r="F6" s="25" t="inlineStr">
        <is>
          <t>○</t>
        </is>
      </c>
      <c r="G6" s="26" t="inlineStr">
        <is>
          <t>△</t>
        </is>
      </c>
      <c r="H6" s="27" t="inlineStr">
        <is>
          <t>×</t>
        </is>
      </c>
    </row>
    <row r="7">
      <c r="B7" s="23" t="inlineStr">
        <is>
          <t>余剰自動解消</t>
        </is>
      </c>
      <c r="C7" s="24" t="inlineStr">
        <is>
          <t>○</t>
        </is>
      </c>
      <c r="D7" s="27" t="inlineStr">
        <is>
          <t>×</t>
        </is>
      </c>
      <c r="E7" s="27" t="inlineStr">
        <is>
          <t>×</t>
        </is>
      </c>
      <c r="F7" s="27" t="inlineStr">
        <is>
          <t>×</t>
        </is>
      </c>
      <c r="G7" s="27" t="inlineStr">
        <is>
          <t>×</t>
        </is>
      </c>
      <c r="H7" s="27" t="inlineStr">
        <is>
          <t>×</t>
        </is>
      </c>
    </row>
    <row r="8">
      <c r="B8" s="23" t="inlineStr">
        <is>
          <t>ガントチャート表示</t>
        </is>
      </c>
      <c r="C8" s="24" t="inlineStr">
        <is>
          <t>○</t>
        </is>
      </c>
      <c r="D8" s="26" t="inlineStr">
        <is>
          <t>△</t>
        </is>
      </c>
      <c r="E8" s="27" t="inlineStr">
        <is>
          <t>×</t>
        </is>
      </c>
      <c r="F8" s="25" t="inlineStr">
        <is>
          <t>○</t>
        </is>
      </c>
      <c r="G8" s="27" t="inlineStr">
        <is>
          <t>×</t>
        </is>
      </c>
      <c r="H8" s="27" t="inlineStr">
        <is>
          <t>×</t>
        </is>
      </c>
    </row>
    <row r="9">
      <c r="B9" s="23" t="inlineStr">
        <is>
          <t>ドラッグ&amp;ドロップ編集</t>
        </is>
      </c>
      <c r="C9" s="24" t="inlineStr">
        <is>
          <t>○</t>
        </is>
      </c>
      <c r="D9" s="25" t="inlineStr">
        <is>
          <t>○</t>
        </is>
      </c>
      <c r="E9" s="27" t="inlineStr">
        <is>
          <t>×</t>
        </is>
      </c>
      <c r="F9" s="27" t="inlineStr">
        <is>
          <t>×</t>
        </is>
      </c>
      <c r="G9" s="27" t="inlineStr">
        <is>
          <t>×</t>
        </is>
      </c>
      <c r="H9" s="27" t="inlineStr">
        <is>
          <t>×</t>
        </is>
      </c>
    </row>
    <row r="10">
      <c r="B10" s="23" t="inlineStr">
        <is>
          <t>正社員 月間時間管理</t>
        </is>
      </c>
      <c r="C10" s="24" t="inlineStr">
        <is>
          <t>○</t>
        </is>
      </c>
      <c r="D10" s="27" t="inlineStr">
        <is>
          <t>×</t>
        </is>
      </c>
      <c r="E10" s="25" t="inlineStr">
        <is>
          <t>○</t>
        </is>
      </c>
      <c r="F10" s="27" t="inlineStr">
        <is>
          <t>×</t>
        </is>
      </c>
      <c r="G10" s="27" t="inlineStr">
        <is>
          <t>×</t>
        </is>
      </c>
      <c r="H10" s="27" t="inlineStr">
        <is>
          <t>×</t>
        </is>
      </c>
    </row>
    <row r="11">
      <c r="B11" s="23" t="inlineStr">
        <is>
          <t>人件費自動計算</t>
        </is>
      </c>
      <c r="C11" s="24" t="inlineStr">
        <is>
          <t>○</t>
        </is>
      </c>
      <c r="D11" s="26" t="inlineStr">
        <is>
          <t>△</t>
        </is>
      </c>
      <c r="E11" s="25" t="inlineStr">
        <is>
          <t>○</t>
        </is>
      </c>
      <c r="F11" s="27" t="inlineStr">
        <is>
          <t>×</t>
        </is>
      </c>
      <c r="G11" s="27" t="inlineStr">
        <is>
          <t>×</t>
        </is>
      </c>
      <c r="H11" s="27" t="inlineStr">
        <is>
          <t>×</t>
        </is>
      </c>
    </row>
    <row r="12">
      <c r="B12" s="23" t="inlineStr">
        <is>
          <t>ステップ型ワークフロー</t>
        </is>
      </c>
      <c r="C12" s="24" t="inlineStr">
        <is>
          <t>○</t>
        </is>
      </c>
      <c r="D12" s="27" t="inlineStr">
        <is>
          <t>×</t>
        </is>
      </c>
      <c r="E12" s="27" t="inlineStr">
        <is>
          <t>×</t>
        </is>
      </c>
      <c r="F12" s="27" t="inlineStr">
        <is>
          <t>×</t>
        </is>
      </c>
      <c r="G12" s="27" t="inlineStr">
        <is>
          <t>×</t>
        </is>
      </c>
      <c r="H12" s="27" t="inlineStr">
        <is>
          <t>×</t>
        </is>
      </c>
    </row>
    <row r="13">
      <c r="B13" s="23" t="inlineStr">
        <is>
          <t>不足文面自動生成</t>
        </is>
      </c>
      <c r="C13" s="24" t="inlineStr">
        <is>
          <t>○</t>
        </is>
      </c>
      <c r="D13" s="27" t="inlineStr">
        <is>
          <t>×</t>
        </is>
      </c>
      <c r="E13" s="27" t="inlineStr">
        <is>
          <t>×</t>
        </is>
      </c>
      <c r="F13" s="27" t="inlineStr">
        <is>
          <t>×</t>
        </is>
      </c>
      <c r="G13" s="27" t="inlineStr">
        <is>
          <t>×</t>
        </is>
      </c>
      <c r="H13" s="27" t="inlineStr">
        <is>
          <t>×</t>
        </is>
      </c>
    </row>
    <row r="14">
      <c r="B14" s="23" t="inlineStr">
        <is>
          <t>Excel出力</t>
        </is>
      </c>
      <c r="C14" s="24" t="inlineStr">
        <is>
          <t>○</t>
        </is>
      </c>
      <c r="D14" s="27" t="inlineStr">
        <is>
          <t>×</t>
        </is>
      </c>
      <c r="E14" s="25" t="inlineStr">
        <is>
          <t>○</t>
        </is>
      </c>
      <c r="F14" s="27" t="inlineStr">
        <is>
          <t>×</t>
        </is>
      </c>
      <c r="G14" s="26" t="inlineStr">
        <is>
          <t>△</t>
        </is>
      </c>
      <c r="H14" s="27" t="inlineStr">
        <is>
          <t>×</t>
        </is>
      </c>
    </row>
    <row r="15">
      <c r="B15" s="23" t="inlineStr">
        <is>
          <t>LINE連携</t>
        </is>
      </c>
      <c r="C15" s="28" t="inlineStr">
        <is>
          <t>△</t>
        </is>
      </c>
      <c r="D15" s="27" t="inlineStr">
        <is>
          <t>×</t>
        </is>
      </c>
      <c r="E15" s="25" t="inlineStr">
        <is>
          <t>○</t>
        </is>
      </c>
      <c r="F15" s="27" t="inlineStr">
        <is>
          <t>×</t>
        </is>
      </c>
      <c r="G15" s="25" t="inlineStr">
        <is>
          <t>○</t>
        </is>
      </c>
      <c r="H15" s="27" t="inlineStr">
        <is>
          <t>×</t>
        </is>
      </c>
    </row>
    <row r="16">
      <c r="B16" s="23" t="inlineStr">
        <is>
          <t>複数店舗管理</t>
        </is>
      </c>
      <c r="C16" s="24" t="inlineStr">
        <is>
          <t>○</t>
        </is>
      </c>
      <c r="D16" s="25" t="inlineStr">
        <is>
          <t>○</t>
        </is>
      </c>
      <c r="E16" s="25" t="inlineStr">
        <is>
          <t>○</t>
        </is>
      </c>
      <c r="F16" s="25" t="inlineStr">
        <is>
          <t>○</t>
        </is>
      </c>
      <c r="G16" s="25" t="inlineStr">
        <is>
          <t>○</t>
        </is>
      </c>
      <c r="H16" s="25" t="inlineStr">
        <is>
          <t>○</t>
        </is>
      </c>
    </row>
    <row r="17">
      <c r="B17" s="23" t="inlineStr">
        <is>
          <t>カスタマイズ対応</t>
        </is>
      </c>
      <c r="C17" s="24" t="inlineStr">
        <is>
          <t>○</t>
        </is>
      </c>
      <c r="D17" s="27" t="inlineStr">
        <is>
          <t>×</t>
        </is>
      </c>
      <c r="E17" s="27" t="inlineStr">
        <is>
          <t>×</t>
        </is>
      </c>
      <c r="F17" s="27" t="inlineStr">
        <is>
          <t>×</t>
        </is>
      </c>
      <c r="G17" s="26" t="inlineStr">
        <is>
          <t>△</t>
        </is>
      </c>
      <c r="H17" s="27" t="inlineStr">
        <is>
          <t>×</t>
        </is>
      </c>
    </row>
    <row r="18">
      <c r="B18" s="23" t="inlineStr">
        <is>
          <t>モバイル対応</t>
        </is>
      </c>
      <c r="C18" s="24" t="inlineStr">
        <is>
          <t>○</t>
        </is>
      </c>
      <c r="D18" s="25" t="inlineStr">
        <is>
          <t>○</t>
        </is>
      </c>
      <c r="E18" s="25" t="inlineStr">
        <is>
          <t>○</t>
        </is>
      </c>
      <c r="F18" s="25" t="inlineStr">
        <is>
          <t>○</t>
        </is>
      </c>
      <c r="G18" s="25" t="inlineStr">
        <is>
          <t>○</t>
        </is>
      </c>
      <c r="H18" s="25" t="inlineStr">
        <is>
          <t>○</t>
        </is>
      </c>
    </row>
    <row r="19">
      <c r="B19" s="23" t="inlineStr">
        <is>
          <t>専用設計（飲食特化）</t>
        </is>
      </c>
      <c r="C19" s="24" t="inlineStr">
        <is>
          <t>○</t>
        </is>
      </c>
      <c r="D19" s="27" t="inlineStr">
        <is>
          <t>×</t>
        </is>
      </c>
      <c r="E19" s="27" t="inlineStr">
        <is>
          <t>×</t>
        </is>
      </c>
      <c r="F19" s="27" t="inlineStr">
        <is>
          <t>×</t>
        </is>
      </c>
      <c r="G19" s="27" t="inlineStr">
        <is>
          <t>×</t>
        </is>
      </c>
      <c r="H19" s="27" t="inlineStr">
        <is>
          <t>×</t>
        </is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2026-04-09T23:53:19Z</dcterms:created>
  <dcterms:modified xmlns:dcterms="http://purl.org/dc/terms/" xmlns:xsi="http://www.w3.org/2001/XMLSchema-instance" xsi:type="dcterms:W3CDTF">2026-04-09T23:53:19Z</dcterms:modified>
</cp:coreProperties>
</file>